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NING\"/>
    </mc:Choice>
  </mc:AlternateContent>
  <xr:revisionPtr revIDLastSave="0" documentId="8_{3402551A-3859-49F8-B575-0C6D6B145FA1}" xr6:coauthVersionLast="47" xr6:coauthVersionMax="47" xr10:uidLastSave="{00000000-0000-0000-0000-000000000000}"/>
  <bookViews>
    <workbookView xWindow="-120" yWindow="-120" windowWidth="24240" windowHeight="13020" activeTab="2" xr2:uid="{F1F44362-D9B7-40CB-96FC-F6567A1B87E5}"/>
  </bookViews>
  <sheets>
    <sheet name="page4" sheetId="5" r:id="rId1"/>
    <sheet name="Page 1" sheetId="6" r:id="rId2"/>
    <sheet name="page 2" sheetId="7" r:id="rId3"/>
    <sheet name="page 3" sheetId="4" r:id="rId4"/>
    <sheet name="CLASS 5" sheetId="1" r:id="rId5"/>
    <sheet name="CLASS 6" sheetId="2" r:id="rId6"/>
    <sheet name="Sheet3" sheetId="3" r:id="rId7"/>
  </sheets>
  <definedNames>
    <definedName name="_xlchart.v1.0" hidden="1">'page 2'!$A$4:$C$4</definedName>
    <definedName name="_xlchart.v1.1" hidden="1">'page 2'!$D$3</definedName>
    <definedName name="_xlchart.v1.10" hidden="1">'page 2'!$H$4</definedName>
    <definedName name="_xlchart.v1.11" hidden="1">'page 2'!$I$3</definedName>
    <definedName name="_xlchart.v1.12" hidden="1">'page 2'!$I$4</definedName>
    <definedName name="_xlchart.v1.2" hidden="1">'page 2'!$D$4</definedName>
    <definedName name="_xlchart.v1.3" hidden="1">'page 2'!$E$3</definedName>
    <definedName name="_xlchart.v1.4" hidden="1">'page 2'!$E$4</definedName>
    <definedName name="_xlchart.v1.5" hidden="1">'page 2'!$F$3</definedName>
    <definedName name="_xlchart.v1.6" hidden="1">'page 2'!$F$4</definedName>
    <definedName name="_xlchart.v1.7" hidden="1">'page 2'!$G$3</definedName>
    <definedName name="_xlchart.v1.8" hidden="1">'page 2'!$G$4</definedName>
    <definedName name="_xlchart.v1.9" hidden="1">'page 2'!$H$3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7" l="1"/>
  <c r="R3" i="1"/>
  <c r="R4" i="1"/>
  <c r="R5" i="1"/>
  <c r="R6" i="1"/>
  <c r="R7" i="1"/>
  <c r="R8" i="1"/>
  <c r="R9" i="1"/>
  <c r="R10" i="1"/>
  <c r="R11" i="1"/>
  <c r="R2" i="1"/>
  <c r="N11" i="1"/>
  <c r="N3" i="1"/>
  <c r="N4" i="1"/>
  <c r="N5" i="1"/>
  <c r="N6" i="1"/>
  <c r="N7" i="1"/>
  <c r="N8" i="1"/>
  <c r="N9" i="1"/>
  <c r="N10" i="1"/>
  <c r="N2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<sst xmlns="http://schemas.openxmlformats.org/spreadsheetml/2006/main" count="130" uniqueCount="52">
  <si>
    <t>Student ID</t>
  </si>
  <si>
    <t>Student Name</t>
  </si>
  <si>
    <t>Course</t>
  </si>
  <si>
    <t>English</t>
  </si>
  <si>
    <t>Maths</t>
  </si>
  <si>
    <t>Science</t>
  </si>
  <si>
    <t>Computer</t>
  </si>
  <si>
    <t>Total</t>
  </si>
  <si>
    <t>Percentage</t>
  </si>
  <si>
    <t>Grade</t>
  </si>
  <si>
    <t>ST001</t>
  </si>
  <si>
    <t>Aarav Sharma</t>
  </si>
  <si>
    <t>BCA</t>
  </si>
  <si>
    <t>A</t>
  </si>
  <si>
    <t>ST002</t>
  </si>
  <si>
    <t>Priya Verma</t>
  </si>
  <si>
    <t>B.Tech CSE</t>
  </si>
  <si>
    <t>A+</t>
  </si>
  <si>
    <t>ST003</t>
  </si>
  <si>
    <t>Rahul Singh</t>
  </si>
  <si>
    <t>BBA</t>
  </si>
  <si>
    <t>B</t>
  </si>
  <si>
    <t>ST004</t>
  </si>
  <si>
    <t>Neha Gupta</t>
  </si>
  <si>
    <t>ST005</t>
  </si>
  <si>
    <t>Mohit Yadav</t>
  </si>
  <si>
    <t>ST006</t>
  </si>
  <si>
    <t>Anjali Mishra</t>
  </si>
  <si>
    <t>B.Com</t>
  </si>
  <si>
    <t>ST007</t>
  </si>
  <si>
    <t>Vivek Kumar</t>
  </si>
  <si>
    <t>C</t>
  </si>
  <si>
    <t>ST008</t>
  </si>
  <si>
    <t>Sneha Patel</t>
  </si>
  <si>
    <t>ST009</t>
  </si>
  <si>
    <t>Rohan Mehta</t>
  </si>
  <si>
    <t>ST010</t>
  </si>
  <si>
    <t>Pooja Singh</t>
  </si>
  <si>
    <t>Result</t>
  </si>
  <si>
    <t>Practical</t>
  </si>
  <si>
    <t>ATTANDENCE</t>
  </si>
  <si>
    <t xml:space="preserve">SPORT </t>
  </si>
  <si>
    <t>Student of This  year</t>
  </si>
  <si>
    <t>TECH FAST</t>
  </si>
  <si>
    <t>YES</t>
  </si>
  <si>
    <t>NO</t>
  </si>
  <si>
    <t>Placements</t>
  </si>
  <si>
    <t>Sum of Total</t>
  </si>
  <si>
    <t>Sum of Percentage</t>
  </si>
  <si>
    <t>Details for Sum of Percentage - Student Name: Aarav Sharma, Student ID: ST001</t>
  </si>
  <si>
    <t>Details for Sum of Percentage - Student Name: Priya Verma, Student ID: ST002</t>
  </si>
  <si>
    <t>Details for Sum of Percentage - Student Name: Anjali Mishra, Student ID: ST006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</si>
</sst>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pivotButton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2362994721121E-2"/>
          <c:y val="0.17784379885451526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'page 2'!$D$3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2'!$D$4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5-4AD9-9009-7D3896F3D49E}"/>
            </c:ext>
          </c:extLst>
        </c:ser>
        <c:ser>
          <c:idx val="1"/>
          <c:order val="1"/>
          <c:tx>
            <c:strRef>
              <c:f>'page 2'!$E$3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2'!$E$4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5-4AD9-9009-7D3896F3D49E}"/>
            </c:ext>
          </c:extLst>
        </c:ser>
        <c:ser>
          <c:idx val="2"/>
          <c:order val="2"/>
          <c:tx>
            <c:strRef>
              <c:f>'page 2'!$F$3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2'!$F$4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5-4AD9-9009-7D3896F3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686351"/>
        <c:axId val="1713034927"/>
      </c:barChart>
      <c:lineChart>
        <c:grouping val="standard"/>
        <c:varyColors val="0"/>
        <c:ser>
          <c:idx val="3"/>
          <c:order val="3"/>
          <c:tx>
            <c:strRef>
              <c:f>'page 2'!$G$3</c:f>
              <c:strCache>
                <c:ptCount val="1"/>
                <c:pt idx="0">
                  <c:v>Computer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2'!$G$4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5-4AD9-9009-7D3896F3D49E}"/>
            </c:ext>
          </c:extLst>
        </c:ser>
        <c:ser>
          <c:idx val="4"/>
          <c:order val="4"/>
          <c:tx>
            <c:strRef>
              <c:f>'page 2'!$H$3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2'!$H$4</c:f>
              <c:numCache>
                <c:formatCode>General</c:formatCode>
                <c:ptCount val="1"/>
                <c:pt idx="0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75-4AD9-9009-7D3896F3D49E}"/>
            </c:ext>
          </c:extLst>
        </c:ser>
        <c:ser>
          <c:idx val="5"/>
          <c:order val="5"/>
          <c:tx>
            <c:strRef>
              <c:f>'page 2'!$I$3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2'!$I$4</c:f>
              <c:numCache>
                <c:formatCode>General</c:formatCode>
                <c:ptCount val="1"/>
                <c:pt idx="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75-4AD9-9009-7D3896F3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686351"/>
        <c:axId val="1713034927"/>
      </c:lineChart>
      <c:catAx>
        <c:axId val="16086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034927"/>
        <c:crosses val="autoZero"/>
        <c:auto val="1"/>
        <c:lblAlgn val="ctr"/>
        <c:lblOffset val="100"/>
        <c:noMultiLvlLbl val="0"/>
      </c:catAx>
      <c:valAx>
        <c:axId val="17130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  <cx:data id="2">
      <cx:strDim type="cat">
        <cx:f>_xlchart.v1.0</cx:f>
      </cx:strDim>
      <cx:numDim type="size">
        <cx:f>_xlchart.v1.6</cx:f>
      </cx:numDim>
    </cx:data>
    <cx:data id="3">
      <cx:strDim type="cat">
        <cx:f>_xlchart.v1.0</cx:f>
      </cx:strDim>
      <cx:numDim type="size">
        <cx:f>_xlchart.v1.8</cx:f>
      </cx:numDim>
    </cx:data>
    <cx:data id="4">
      <cx:strDim type="cat">
        <cx:f>_xlchart.v1.0</cx:f>
      </cx:strDim>
      <cx:numDim type="size">
        <cx:f>_xlchart.v1.10</cx:f>
      </cx:numDim>
    </cx:data>
    <cx:data id="5">
      <cx:strDim type="cat">
        <cx:f>_xlchart.v1.0</cx:f>
      </cx:strDim>
      <cx:numDim type="size">
        <cx:f>_xlchart.v1.12</cx:f>
      </cx:numDim>
    </cx:data>
  </cx:chartData>
  <cx:chart>
    <cx:title pos="t" align="ctr" overlay="0"/>
    <cx:plotArea>
      <cx:plotAreaRegion>
        <cx:series layoutId="sunburst" uniqueId="{00000000-60BC-4809-8292-84F8ABA47662}" formatIdx="0">
          <cx:tx>
            <cx:txData>
              <cx:f>_xlchart.v1.1</cx:f>
              <cx:v>English</cx:v>
            </cx:txData>
          </cx:tx>
          <cx:dataLabels pos="ctr">
            <cx:visibility seriesName="0" categoryName="1" value="0"/>
          </cx:dataLabels>
          <cx:dataId val="0"/>
        </cx:series>
        <cx:series layoutId="sunburst" hidden="1" uniqueId="{00000001-60BC-4809-8292-84F8ABA47662}" formatIdx="1">
          <cx:tx>
            <cx:txData>
              <cx:f>_xlchart.v1.3</cx:f>
              <cx:v>Maths</cx:v>
            </cx:txData>
          </cx:tx>
          <cx:dataLabels pos="ctr">
            <cx:visibility seriesName="0" categoryName="1" value="0"/>
          </cx:dataLabels>
          <cx:dataId val="1"/>
        </cx:series>
        <cx:series layoutId="sunburst" hidden="1" uniqueId="{00000002-60BC-4809-8292-84F8ABA47662}" formatIdx="2">
          <cx:tx>
            <cx:txData>
              <cx:f>_xlchart.v1.5</cx:f>
              <cx:v>Science</cx:v>
            </cx:txData>
          </cx:tx>
          <cx:dataLabels pos="ctr">
            <cx:visibility seriesName="0" categoryName="1" value="0"/>
          </cx:dataLabels>
          <cx:dataId val="2"/>
        </cx:series>
        <cx:series layoutId="sunburst" hidden="1" uniqueId="{00000003-60BC-4809-8292-84F8ABA47662}" formatIdx="3">
          <cx:tx>
            <cx:txData>
              <cx:f>_xlchart.v1.7</cx:f>
              <cx:v>Computer</cx:v>
            </cx:txData>
          </cx:tx>
          <cx:dataLabels pos="ctr">
            <cx:visibility seriesName="0" categoryName="1" value="0"/>
          </cx:dataLabels>
          <cx:dataId val="3"/>
        </cx:series>
        <cx:series layoutId="sunburst" hidden="1" uniqueId="{00000004-60BC-4809-8292-84F8ABA47662}" formatIdx="4">
          <cx:tx>
            <cx:txData>
              <cx:f>_xlchart.v1.9</cx:f>
              <cx:v>Total</cx:v>
            </cx:txData>
          </cx:tx>
          <cx:dataLabels pos="ctr">
            <cx:visibility seriesName="0" categoryName="1" value="0"/>
          </cx:dataLabels>
          <cx:dataId val="4"/>
        </cx:series>
        <cx:series layoutId="sunburst" hidden="1" uniqueId="{00000005-60BC-4809-8292-84F8ABA47662}" formatIdx="5">
          <cx:tx>
            <cx:txData>
              <cx:f>_xlchart.v1.11</cx:f>
              <cx:v>Percentage</cx:v>
            </cx:txData>
          </cx:tx>
          <cx:dataLabels pos="ctr">
            <cx:visibility seriesName="0" categoryName="1" value="0"/>
          </cx:dataLabels>
          <cx:dataId val="5"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490682</xdr:colOff>
      <xdr:row>6</xdr:row>
      <xdr:rowOff>147637</xdr:rowOff>
    </xdr:from>
    <xdr:to>
      <xdr:col>22</xdr:col>
      <xdr:colOff>111124</xdr:colOff>
      <xdr:row>33</xdr:row>
      <xdr:rowOff>111125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8F5D55-4D21-9840-8AB1-973DE8190D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1682" y="1290637"/>
              <a:ext cx="6326042" cy="5106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520987</xdr:colOff>
      <xdr:row>6</xdr:row>
      <xdr:rowOff>43295</xdr:rowOff>
    </xdr:from>
    <xdr:to>
      <xdr:col>12</xdr:col>
      <xdr:colOff>245341</xdr:colOff>
      <xdr:row>30</xdr:row>
      <xdr:rowOff>86591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5F812-280F-4896-36A2-F3B44C0C4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L MISHRA" refreshedDate="46209.449099421297" createdVersion="8" refreshedVersion="8" minRefreshableVersion="3" recordCount="10" xr:uid="{BAD46838-B587-4956-A2F6-874AF4CF329F}">
  <cacheSource type="worksheet">
    <worksheetSource ref="A1:I11" sheet="CLASS 5"/>
  </cacheSource>
  <cacheFields count="9">
    <cacheField name="Student ID" numFmtId="0">
      <sharedItems count="10">
        <s v="ST001"/>
        <s v="ST002"/>
        <s v="ST003"/>
        <s v="ST004"/>
        <s v="ST005"/>
        <s v="ST006"/>
        <s v="ST007"/>
        <s v="ST008"/>
        <s v="ST009"/>
        <s v="ST010"/>
      </sharedItems>
    </cacheField>
    <cacheField name="Student Name" numFmtId="0">
      <sharedItems count="10">
        <s v="Aarav Sharma"/>
        <s v="Priya Verma"/>
        <s v="Rahul Singh"/>
        <s v="Neha Gupta"/>
        <s v="Mohit Yadav"/>
        <s v="Anjali Mishra"/>
        <s v="Vivek Kumar"/>
        <s v="Sneha Patel"/>
        <s v="Rohan Mehta"/>
        <s v="Pooja Singh"/>
      </sharedItems>
    </cacheField>
    <cacheField name="Course" numFmtId="0">
      <sharedItems/>
    </cacheField>
    <cacheField name="English" numFmtId="0">
      <sharedItems containsSemiMixedTypes="0" containsString="0" containsNumber="1" containsInteger="1" minValue="56" maxValue="92"/>
    </cacheField>
    <cacheField name="Maths" numFmtId="0">
      <sharedItems containsSemiMixedTypes="0" containsString="0" containsNumber="1" containsInteger="1" minValue="63" maxValue="95"/>
    </cacheField>
    <cacheField name="Science" numFmtId="0">
      <sharedItems containsSemiMixedTypes="0" containsString="0" containsNumber="1" containsInteger="1" minValue="60" maxValue="92"/>
    </cacheField>
    <cacheField name="Computer" numFmtId="0">
      <sharedItems containsSemiMixedTypes="0" containsString="0" containsNumber="1" containsInteger="1" minValue="66" maxValue="96"/>
    </cacheField>
    <cacheField name="Total" numFmtId="0">
      <sharedItems containsSemiMixedTypes="0" containsString="0" containsNumber="1" containsInteger="1" minValue="245" maxValue="373"/>
    </cacheField>
    <cacheField name="Percentage" numFmtId="10">
      <sharedItems containsSemiMixedTypes="0" containsString="0" containsNumber="1" minValue="0.61250000000000004" maxValue="0.9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BCA"/>
    <n v="78"/>
    <n v="85"/>
    <n v="82"/>
    <n v="90"/>
    <n v="335"/>
    <n v="0.83750000000000002"/>
  </r>
  <r>
    <x v="1"/>
    <x v="1"/>
    <s v="B.Tech CSE"/>
    <n v="88"/>
    <n v="91"/>
    <n v="86"/>
    <n v="94"/>
    <n v="359"/>
    <n v="0.89749999999999996"/>
  </r>
  <r>
    <x v="2"/>
    <x v="2"/>
    <s v="BBA"/>
    <n v="65"/>
    <n v="72"/>
    <n v="70"/>
    <n v="68"/>
    <n v="275"/>
    <n v="0.6875"/>
  </r>
  <r>
    <x v="3"/>
    <x v="3"/>
    <s v="B.Tech CSE"/>
    <n v="92"/>
    <n v="95"/>
    <n v="90"/>
    <n v="96"/>
    <n v="373"/>
    <n v="0.9325"/>
  </r>
  <r>
    <x v="4"/>
    <x v="4"/>
    <s v="BCA"/>
    <n v="74"/>
    <n v="69"/>
    <n v="71"/>
    <n v="75"/>
    <n v="289"/>
    <n v="0.72250000000000003"/>
  </r>
  <r>
    <x v="5"/>
    <x v="5"/>
    <s v="B.Com"/>
    <n v="81"/>
    <n v="79"/>
    <n v="84"/>
    <n v="88"/>
    <n v="332"/>
    <n v="0.83"/>
  </r>
  <r>
    <x v="6"/>
    <x v="6"/>
    <s v="B.Tech CSE"/>
    <n v="56"/>
    <n v="63"/>
    <n v="60"/>
    <n v="66"/>
    <n v="245"/>
    <n v="0.61250000000000004"/>
  </r>
  <r>
    <x v="7"/>
    <x v="7"/>
    <s v="BBA"/>
    <n v="90"/>
    <n v="89"/>
    <n v="92"/>
    <n v="91"/>
    <n v="362"/>
    <n v="0.90500000000000003"/>
  </r>
  <r>
    <x v="8"/>
    <x v="8"/>
    <s v="BCA"/>
    <n v="69"/>
    <n v="74"/>
    <n v="73"/>
    <n v="70"/>
    <n v="286"/>
    <n v="0.71499999999999997"/>
  </r>
  <r>
    <x v="9"/>
    <x v="9"/>
    <s v="B.Tech CSE"/>
    <n v="85"/>
    <n v="87"/>
    <n v="89"/>
    <n v="93"/>
    <n v="354"/>
    <n v="0.885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AA174-2715-4EA8-9919-2410BC8A2AC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13" firstHeaderRow="0" firstDataRow="1" firstDataCol="2"/>
  <pivotFields count="9">
    <pivotField axis="axisRow" compact="0" outline="0" showAll="0" defaultSubtotal="0">
      <items count="10">
        <item sd="0"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0">
        <item x="0"/>
        <item x="5"/>
        <item x="4"/>
        <item x="3"/>
        <item x="9"/>
        <item x="1"/>
        <item x="2"/>
        <item x="8"/>
        <item x="7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numFmtId="10" outline="0" showAll="0" defaultSubtotal="0"/>
  </pivotFields>
  <rowFields count="2">
    <field x="0"/>
    <field x="1"/>
  </rowFields>
  <rowItems count="10">
    <i>
      <x/>
    </i>
    <i>
      <x v="1"/>
      <x v="5"/>
    </i>
    <i>
      <x v="2"/>
      <x v="6"/>
    </i>
    <i>
      <x v="3"/>
      <x v="3"/>
    </i>
    <i>
      <x v="4"/>
      <x v="2"/>
    </i>
    <i>
      <x v="5"/>
      <x v="1"/>
    </i>
    <i>
      <x v="6"/>
      <x v="9"/>
    </i>
    <i>
      <x v="7"/>
      <x v="8"/>
    </i>
    <i>
      <x v="8"/>
      <x v="7"/>
    </i>
    <i>
      <x v="9"/>
      <x v="4"/>
    </i>
  </rowItems>
  <colFields count="1">
    <field x="-2"/>
  </colFields>
  <colItems count="2">
    <i>
      <x/>
    </i>
    <i i="1">
      <x v="1"/>
    </i>
  </colItems>
  <dataFields count="2">
    <dataField name="Sum of Total" fld="7" baseField="0" baseItem="0"/>
    <dataField name="Sum of Percentage" fld="8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31F24-5F8E-4212-82A3-26EF86235C46}" name="Table1" displayName="Table1" ref="A3:I4" totalsRowShown="0">
  <autoFilter ref="A3:I4" xr:uid="{25031F24-5F8E-4212-82A3-26EF86235C46}"/>
  <tableColumns count="9">
    <tableColumn id="1" xr3:uid="{6A896B7F-B2A0-4C6F-A2D9-6A639C8B4C02}" name="Student ID"/>
    <tableColumn id="2" xr3:uid="{3F447635-8F8F-4406-951C-ABA158411A48}" name="Student Name"/>
    <tableColumn id="3" xr3:uid="{A8DBBD4F-49C1-49FF-9366-F1FBAC2D80B6}" name="Course"/>
    <tableColumn id="4" xr3:uid="{0EA3E46A-1ECB-4733-B070-716E67F2634D}" name="English"/>
    <tableColumn id="5" xr3:uid="{60B7F086-2870-498F-8BF5-0B796EF822B4}" name="Maths"/>
    <tableColumn id="6" xr3:uid="{082BD2B5-BCE7-4907-8851-C022C3A6AA9A}" name="Science"/>
    <tableColumn id="7" xr3:uid="{14E8401E-CAD1-4893-B613-BA0BC40841C2}" name="Computer"/>
    <tableColumn id="8" xr3:uid="{5188901F-DDCB-49D4-B224-F0D2A15B414E}" name="Total"/>
    <tableColumn id="9" xr3:uid="{DD5382A5-0F9C-47E6-BAC5-AD9A6EB09CD2}" name="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554CE5-6C24-4403-9E54-926BF6542C90}" name="Table2" displayName="Table2" ref="A3:I4" totalsRowShown="0">
  <autoFilter ref="A3:I4" xr:uid="{41554CE5-6C24-4403-9E54-926BF6542C90}"/>
  <tableColumns count="9">
    <tableColumn id="1" xr3:uid="{79FF9220-9CF9-4814-8E7E-17B475C6561F}" name="Student ID"/>
    <tableColumn id="2" xr3:uid="{FCF4CABA-2EAD-4594-8ECA-67E664855CC4}" name="Student Name"/>
    <tableColumn id="3" xr3:uid="{44CA7112-4219-4EF1-8DCC-9CFFC42EB8FE}" name="Course"/>
    <tableColumn id="4" xr3:uid="{0B0DE3CF-4CC8-4D67-9319-1CCE497FA8AF}" name="English"/>
    <tableColumn id="5" xr3:uid="{643EEB78-E740-42D4-8D09-2CE23876259D}" name="Maths"/>
    <tableColumn id="6" xr3:uid="{FFD54AD5-5A1D-4B63-ADC7-E1138E59248B}" name="Science"/>
    <tableColumn id="7" xr3:uid="{86B6404E-ED81-4F01-99E8-5811976B4D59}" name="Computer"/>
    <tableColumn id="8" xr3:uid="{3D297137-07CB-42BB-9B81-72ACFE78DE19}" name="Total"/>
    <tableColumn id="9" xr3:uid="{8F5E0908-9C6A-43B5-A87D-76AC70B3EFFF}" name="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7A1A59-CEFD-4CA7-B5A6-C0A4BD8E26A1}" name="Table3" displayName="Table3" ref="A3:I4" totalsRowShown="0">
  <autoFilter ref="A3:I4" xr:uid="{9A7A1A59-CEFD-4CA7-B5A6-C0A4BD8E26A1}"/>
  <tableColumns count="9">
    <tableColumn id="1" xr3:uid="{14EAC522-0134-4EE0-92D1-5B86EFB6EB20}" name="Student ID"/>
    <tableColumn id="2" xr3:uid="{3842F8E1-9CF9-42DF-B91E-61C57DCC8BC4}" name="Student Name"/>
    <tableColumn id="3" xr3:uid="{039E1506-3171-4C5D-B2DE-EA355B73ACC4}" name="Course"/>
    <tableColumn id="4" xr3:uid="{22165867-2F44-4535-834D-17A407C52C99}" name="English"/>
    <tableColumn id="5" xr3:uid="{D9A1ADED-5909-46E6-8806-8C4EB75E9EDE}" name="Maths"/>
    <tableColumn id="6" xr3:uid="{E7B4168D-7AF7-467C-8CCD-E31C5E7B5424}" name="Science"/>
    <tableColumn id="7" xr3:uid="{09AD2E59-633B-488E-9110-EA7F5B0599DA}" name="Computer"/>
    <tableColumn id="8" xr3:uid="{570BE1EB-9FA8-4E25-B2E4-EB125B2DDAB5}" name="Total"/>
    <tableColumn id="9" xr3:uid="{9DD661D0-AA31-42CB-8109-7151D15104D4}" name="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FEAD-7188-48D7-B720-404CE2FBDA92}">
  <dimension ref="A1:I4"/>
  <sheetViews>
    <sheetView workbookViewId="0">
      <selection activeCell="A3" sqref="A3:I4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9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49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10</v>
      </c>
      <c r="B4" t="s">
        <v>11</v>
      </c>
      <c r="C4" t="s">
        <v>12</v>
      </c>
      <c r="D4">
        <v>78</v>
      </c>
      <c r="E4">
        <v>85</v>
      </c>
      <c r="F4">
        <v>82</v>
      </c>
      <c r="G4">
        <v>90</v>
      </c>
      <c r="H4">
        <v>335</v>
      </c>
      <c r="I4">
        <v>0.83750000000000002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37D3-4B57-40EB-9013-558045841266}">
  <dimension ref="A1:I4"/>
  <sheetViews>
    <sheetView workbookViewId="0">
      <selection activeCell="A3" sqref="A3:I4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10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50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14</v>
      </c>
      <c r="B4" t="s">
        <v>15</v>
      </c>
      <c r="C4" t="s">
        <v>16</v>
      </c>
      <c r="D4">
        <v>88</v>
      </c>
      <c r="E4">
        <v>91</v>
      </c>
      <c r="F4">
        <v>86</v>
      </c>
      <c r="G4">
        <v>94</v>
      </c>
      <c r="H4">
        <v>359</v>
      </c>
      <c r="I4">
        <v>0.89749999999999996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429F-CD01-4F51-81B3-89A33C9B3B81}">
  <dimension ref="A1:I12"/>
  <sheetViews>
    <sheetView tabSelected="1" topLeftCell="A4" zoomScale="66" workbookViewId="0">
      <selection activeCell="B12" sqref="B12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9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51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26</v>
      </c>
      <c r="B4" t="s">
        <v>27</v>
      </c>
      <c r="C4" t="s">
        <v>28</v>
      </c>
      <c r="D4">
        <v>81</v>
      </c>
      <c r="E4">
        <v>79</v>
      </c>
      <c r="F4">
        <v>84</v>
      </c>
      <c r="G4">
        <v>88</v>
      </c>
      <c r="H4">
        <v>332</v>
      </c>
      <c r="I4">
        <v>0.83</v>
      </c>
    </row>
    <row r="12" spans="1:9" x14ac:dyDescent="0.25">
      <c r="B12" t="e">
        <f>CHAR(T9987)</f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B1FC-64BE-4A4A-ABB5-3B5DD0B96B7B}">
  <dimension ref="A3:D13"/>
  <sheetViews>
    <sheetView workbookViewId="0">
      <selection activeCell="A5" sqref="A5"/>
    </sheetView>
  </sheetViews>
  <sheetFormatPr defaultRowHeight="15" x14ac:dyDescent="0.25"/>
  <cols>
    <col min="1" max="1" width="16.85546875" bestFit="1" customWidth="1"/>
    <col min="2" max="2" width="16.140625" bestFit="1" customWidth="1"/>
    <col min="3" max="3" width="12" bestFit="1" customWidth="1"/>
    <col min="4" max="4" width="17.85546875" bestFit="1" customWidth="1"/>
  </cols>
  <sheetData>
    <row r="3" spans="1:4" x14ac:dyDescent="0.25">
      <c r="A3" s="21" t="s">
        <v>0</v>
      </c>
      <c r="B3" s="21" t="s">
        <v>1</v>
      </c>
      <c r="C3" t="s">
        <v>47</v>
      </c>
      <c r="D3" t="s">
        <v>48</v>
      </c>
    </row>
    <row r="4" spans="1:4" x14ac:dyDescent="0.25">
      <c r="A4" t="s">
        <v>10</v>
      </c>
      <c r="C4">
        <v>335</v>
      </c>
      <c r="D4" s="22">
        <v>0.83750000000000002</v>
      </c>
    </row>
    <row r="5" spans="1:4" x14ac:dyDescent="0.25">
      <c r="A5" t="s">
        <v>14</v>
      </c>
      <c r="B5" t="s">
        <v>15</v>
      </c>
      <c r="C5">
        <v>359</v>
      </c>
      <c r="D5" s="22">
        <v>0.89749999999999996</v>
      </c>
    </row>
    <row r="6" spans="1:4" x14ac:dyDescent="0.25">
      <c r="A6" t="s">
        <v>18</v>
      </c>
      <c r="B6" t="s">
        <v>19</v>
      </c>
      <c r="C6">
        <v>275</v>
      </c>
      <c r="D6" s="22">
        <v>0.6875</v>
      </c>
    </row>
    <row r="7" spans="1:4" x14ac:dyDescent="0.25">
      <c r="A7" t="s">
        <v>22</v>
      </c>
      <c r="B7" t="s">
        <v>23</v>
      </c>
      <c r="C7">
        <v>373</v>
      </c>
      <c r="D7" s="22">
        <v>0.9325</v>
      </c>
    </row>
    <row r="8" spans="1:4" x14ac:dyDescent="0.25">
      <c r="A8" t="s">
        <v>24</v>
      </c>
      <c r="B8" t="s">
        <v>25</v>
      </c>
      <c r="C8">
        <v>289</v>
      </c>
      <c r="D8" s="22">
        <v>0.72250000000000003</v>
      </c>
    </row>
    <row r="9" spans="1:4" x14ac:dyDescent="0.25">
      <c r="A9" t="s">
        <v>26</v>
      </c>
      <c r="B9" t="s">
        <v>27</v>
      </c>
      <c r="C9">
        <v>332</v>
      </c>
      <c r="D9" s="22">
        <v>0.83</v>
      </c>
    </row>
    <row r="10" spans="1:4" x14ac:dyDescent="0.25">
      <c r="A10" t="s">
        <v>29</v>
      </c>
      <c r="B10" t="s">
        <v>30</v>
      </c>
      <c r="C10">
        <v>245</v>
      </c>
      <c r="D10" s="22">
        <v>0.61250000000000004</v>
      </c>
    </row>
    <row r="11" spans="1:4" x14ac:dyDescent="0.25">
      <c r="A11" t="s">
        <v>32</v>
      </c>
      <c r="B11" t="s">
        <v>33</v>
      </c>
      <c r="C11">
        <v>362</v>
      </c>
      <c r="D11" s="22">
        <v>0.90500000000000003</v>
      </c>
    </row>
    <row r="12" spans="1:4" x14ac:dyDescent="0.25">
      <c r="A12" t="s">
        <v>34</v>
      </c>
      <c r="B12" t="s">
        <v>35</v>
      </c>
      <c r="C12">
        <v>286</v>
      </c>
      <c r="D12" s="22">
        <v>0.71499999999999997</v>
      </c>
    </row>
    <row r="13" spans="1:4" x14ac:dyDescent="0.25">
      <c r="A13" t="s">
        <v>36</v>
      </c>
      <c r="B13" t="s">
        <v>37</v>
      </c>
      <c r="C13">
        <v>354</v>
      </c>
      <c r="D13" s="22">
        <v>0.88500000000000001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BDBD-8CDE-419D-95F9-C0F5E77B5192}">
  <dimension ref="A1:R11"/>
  <sheetViews>
    <sheetView zoomScale="61" zoomScaleNormal="70" workbookViewId="0">
      <selection sqref="A1:I11"/>
    </sheetView>
  </sheetViews>
  <sheetFormatPr defaultRowHeight="15" x14ac:dyDescent="0.25"/>
  <cols>
    <col min="1" max="1" width="12.28515625" customWidth="1"/>
    <col min="2" max="2" width="13.85546875" customWidth="1"/>
    <col min="3" max="3" width="12.28515625" customWidth="1"/>
    <col min="4" max="4" width="15.28515625" customWidth="1"/>
    <col min="5" max="5" width="12.140625" customWidth="1"/>
    <col min="6" max="6" width="12.7109375" customWidth="1"/>
    <col min="7" max="7" width="16.28515625" customWidth="1"/>
    <col min="8" max="8" width="14.7109375" style="9" customWidth="1"/>
    <col min="9" max="9" width="13.7109375" customWidth="1"/>
    <col min="10" max="10" width="14.42578125" customWidth="1"/>
    <col min="11" max="11" width="19.140625" style="12" customWidth="1"/>
    <col min="12" max="12" width="15.85546875" style="15" customWidth="1"/>
    <col min="13" max="13" width="17.28515625" style="15" customWidth="1"/>
    <col min="14" max="14" width="30" style="18" customWidth="1"/>
    <col min="15" max="15" width="25.42578125" customWidth="1"/>
    <col min="16" max="16" width="29" style="14" customWidth="1"/>
    <col min="17" max="17" width="27.7109375" customWidth="1"/>
    <col min="18" max="18" width="33.5703125" style="12" customWidth="1"/>
  </cols>
  <sheetData>
    <row r="1" spans="1:18" s="6" customFormat="1" ht="67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0" t="s">
        <v>7</v>
      </c>
      <c r="I1" s="5" t="s">
        <v>8</v>
      </c>
      <c r="J1" s="5" t="s">
        <v>9</v>
      </c>
      <c r="K1" s="19" t="s">
        <v>38</v>
      </c>
      <c r="L1" s="16" t="s">
        <v>39</v>
      </c>
      <c r="M1" s="19" t="s">
        <v>40</v>
      </c>
      <c r="N1" s="17" t="s">
        <v>41</v>
      </c>
      <c r="O1" s="13" t="s">
        <v>42</v>
      </c>
      <c r="P1" s="19" t="s">
        <v>43</v>
      </c>
      <c r="Q1" s="13" t="s">
        <v>46</v>
      </c>
      <c r="R1" s="13" t="s">
        <v>9</v>
      </c>
    </row>
    <row r="2" spans="1:18" s="9" customFormat="1" ht="63.75" customHeight="1" x14ac:dyDescent="0.25">
      <c r="A2" s="7" t="s">
        <v>10</v>
      </c>
      <c r="B2" s="7" t="s">
        <v>11</v>
      </c>
      <c r="C2" s="7" t="s">
        <v>12</v>
      </c>
      <c r="D2" s="7">
        <v>78</v>
      </c>
      <c r="E2" s="7">
        <v>85</v>
      </c>
      <c r="F2" s="7">
        <v>82</v>
      </c>
      <c r="G2" s="7">
        <v>90</v>
      </c>
      <c r="H2" s="7">
        <v>335</v>
      </c>
      <c r="I2" s="8">
        <v>0.83750000000000002</v>
      </c>
      <c r="J2" s="10" t="s">
        <v>13</v>
      </c>
      <c r="K2" s="14" t="str">
        <f>IF(H2&gt;=300, "Pass", "fail")</f>
        <v>Pass</v>
      </c>
      <c r="L2" s="14">
        <v>45</v>
      </c>
      <c r="M2" s="14">
        <v>98</v>
      </c>
      <c r="N2" s="14" t="str">
        <f>IF(AND(H2&gt;=300, M2&gt;=70), "ELIGIBLE","NOT ELIGIBLE")</f>
        <v>ELIGIBLE</v>
      </c>
      <c r="P2" s="14" t="s">
        <v>44</v>
      </c>
      <c r="R2" s="11" t="str">
        <f>IF(F2&gt;=300,"A", IF(F2&gt;=250, "B", "F"))</f>
        <v>F</v>
      </c>
    </row>
    <row r="3" spans="1:18" ht="54" customHeight="1" x14ac:dyDescent="0.25">
      <c r="A3" s="3" t="s">
        <v>14</v>
      </c>
      <c r="B3" s="3" t="s">
        <v>15</v>
      </c>
      <c r="C3" s="3" t="s">
        <v>16</v>
      </c>
      <c r="D3" s="3">
        <v>88</v>
      </c>
      <c r="E3" s="3">
        <v>91</v>
      </c>
      <c r="F3" s="3">
        <v>86</v>
      </c>
      <c r="G3" s="3">
        <v>94</v>
      </c>
      <c r="H3" s="7">
        <v>359</v>
      </c>
      <c r="I3" s="4">
        <v>0.89749999999999996</v>
      </c>
      <c r="J3" s="3" t="s">
        <v>17</v>
      </c>
      <c r="K3" s="14" t="str">
        <f t="shared" ref="K3:K11" si="0">IF(H3&gt;=300, "Pass", "fail")</f>
        <v>Pass</v>
      </c>
      <c r="L3" s="1">
        <v>65</v>
      </c>
      <c r="M3" s="14">
        <v>76</v>
      </c>
      <c r="N3" s="18" t="str">
        <f t="shared" ref="N3:N11" si="1">IF(AND(H3&gt;=300, M3&gt;=70), "ELIGIBLE","NOT ELIGIBLE")</f>
        <v>ELIGIBLE</v>
      </c>
      <c r="P3" s="14" t="s">
        <v>44</v>
      </c>
      <c r="R3" s="11" t="str">
        <f t="shared" ref="R3:R11" si="2">IF(F3&gt;=300,"A", IF(F3&gt;=250, "B", "F"))</f>
        <v>F</v>
      </c>
    </row>
    <row r="4" spans="1:18" s="9" customFormat="1" ht="62.25" customHeight="1" x14ac:dyDescent="0.25">
      <c r="A4" s="7" t="s">
        <v>18</v>
      </c>
      <c r="B4" s="7" t="s">
        <v>19</v>
      </c>
      <c r="C4" s="7" t="s">
        <v>20</v>
      </c>
      <c r="D4" s="7">
        <v>65</v>
      </c>
      <c r="E4" s="7">
        <v>72</v>
      </c>
      <c r="F4" s="7">
        <v>70</v>
      </c>
      <c r="G4" s="7">
        <v>68</v>
      </c>
      <c r="H4" s="7">
        <v>275</v>
      </c>
      <c r="I4" s="8">
        <v>0.6875</v>
      </c>
      <c r="J4" s="10" t="s">
        <v>21</v>
      </c>
      <c r="K4" s="14" t="str">
        <f t="shared" si="0"/>
        <v>fail</v>
      </c>
      <c r="L4" s="14">
        <v>67</v>
      </c>
      <c r="M4" s="14">
        <v>56</v>
      </c>
      <c r="N4" s="14" t="str">
        <f t="shared" si="1"/>
        <v>NOT ELIGIBLE</v>
      </c>
      <c r="P4" s="14" t="s">
        <v>45</v>
      </c>
      <c r="R4" s="11" t="str">
        <f t="shared" si="2"/>
        <v>F</v>
      </c>
    </row>
    <row r="5" spans="1:18" ht="53.25" customHeight="1" x14ac:dyDescent="0.25">
      <c r="A5" s="3" t="s">
        <v>22</v>
      </c>
      <c r="B5" s="3" t="s">
        <v>23</v>
      </c>
      <c r="C5" s="3" t="s">
        <v>16</v>
      </c>
      <c r="D5" s="3">
        <v>92</v>
      </c>
      <c r="E5" s="3">
        <v>95</v>
      </c>
      <c r="F5" s="3">
        <v>90</v>
      </c>
      <c r="G5" s="3">
        <v>96</v>
      </c>
      <c r="H5" s="7">
        <v>373</v>
      </c>
      <c r="I5" s="4">
        <v>0.9325</v>
      </c>
      <c r="J5" s="3" t="s">
        <v>17</v>
      </c>
      <c r="K5" s="14" t="str">
        <f t="shared" si="0"/>
        <v>Pass</v>
      </c>
      <c r="L5" s="1">
        <v>83</v>
      </c>
      <c r="M5" s="14">
        <v>56</v>
      </c>
      <c r="N5" s="18" t="str">
        <f t="shared" si="1"/>
        <v>NOT ELIGIBLE</v>
      </c>
      <c r="P5" s="14" t="s">
        <v>45</v>
      </c>
      <c r="R5" s="11" t="str">
        <f t="shared" si="2"/>
        <v>F</v>
      </c>
    </row>
    <row r="6" spans="1:18" s="9" customFormat="1" ht="60" customHeight="1" x14ac:dyDescent="0.25">
      <c r="A6" s="7" t="s">
        <v>24</v>
      </c>
      <c r="B6" s="7" t="s">
        <v>25</v>
      </c>
      <c r="C6" s="7" t="s">
        <v>12</v>
      </c>
      <c r="D6" s="7">
        <v>74</v>
      </c>
      <c r="E6" s="7">
        <v>69</v>
      </c>
      <c r="F6" s="7">
        <v>71</v>
      </c>
      <c r="G6" s="7">
        <v>75</v>
      </c>
      <c r="H6" s="7">
        <v>289</v>
      </c>
      <c r="I6" s="8">
        <v>0.72250000000000003</v>
      </c>
      <c r="J6" s="7" t="s">
        <v>21</v>
      </c>
      <c r="K6" s="14" t="str">
        <f t="shared" si="0"/>
        <v>fail</v>
      </c>
      <c r="L6" s="10">
        <v>87</v>
      </c>
      <c r="M6" s="14">
        <v>90</v>
      </c>
      <c r="N6" s="14" t="str">
        <f t="shared" si="1"/>
        <v>NOT ELIGIBLE</v>
      </c>
      <c r="P6" s="14" t="s">
        <v>45</v>
      </c>
      <c r="R6" s="11" t="str">
        <f t="shared" si="2"/>
        <v>F</v>
      </c>
    </row>
    <row r="7" spans="1:18" ht="74.25" customHeight="1" x14ac:dyDescent="0.25">
      <c r="A7" s="3" t="s">
        <v>26</v>
      </c>
      <c r="B7" s="3" t="s">
        <v>27</v>
      </c>
      <c r="C7" s="3" t="s">
        <v>28</v>
      </c>
      <c r="D7" s="3">
        <v>81</v>
      </c>
      <c r="E7" s="3">
        <v>79</v>
      </c>
      <c r="F7" s="3">
        <v>84</v>
      </c>
      <c r="G7" s="3">
        <v>88</v>
      </c>
      <c r="H7" s="7">
        <v>332</v>
      </c>
      <c r="I7" s="4">
        <v>0.83</v>
      </c>
      <c r="J7" s="3" t="s">
        <v>13</v>
      </c>
      <c r="K7" s="14" t="str">
        <f t="shared" si="0"/>
        <v>Pass</v>
      </c>
      <c r="L7" s="1">
        <v>23</v>
      </c>
      <c r="M7" s="14">
        <v>47</v>
      </c>
      <c r="N7" s="18" t="str">
        <f t="shared" si="1"/>
        <v>NOT ELIGIBLE</v>
      </c>
      <c r="P7" s="14" t="s">
        <v>45</v>
      </c>
      <c r="R7" s="11" t="str">
        <f t="shared" si="2"/>
        <v>F</v>
      </c>
    </row>
    <row r="8" spans="1:18" s="9" customFormat="1" ht="69.75" customHeight="1" x14ac:dyDescent="0.25">
      <c r="A8" s="7" t="s">
        <v>29</v>
      </c>
      <c r="B8" s="7" t="s">
        <v>30</v>
      </c>
      <c r="C8" s="7" t="s">
        <v>16</v>
      </c>
      <c r="D8" s="7">
        <v>56</v>
      </c>
      <c r="E8" s="7">
        <v>63</v>
      </c>
      <c r="F8" s="7">
        <v>60</v>
      </c>
      <c r="G8" s="7">
        <v>66</v>
      </c>
      <c r="H8" s="7">
        <v>245</v>
      </c>
      <c r="I8" s="8">
        <v>0.61250000000000004</v>
      </c>
      <c r="J8" s="7" t="s">
        <v>31</v>
      </c>
      <c r="K8" s="14" t="str">
        <f t="shared" si="0"/>
        <v>fail</v>
      </c>
      <c r="L8" s="10">
        <v>45</v>
      </c>
      <c r="M8" s="14">
        <v>67</v>
      </c>
      <c r="N8" s="14" t="str">
        <f t="shared" si="1"/>
        <v>NOT ELIGIBLE</v>
      </c>
      <c r="P8" s="14" t="s">
        <v>45</v>
      </c>
      <c r="R8" s="11" t="str">
        <f t="shared" si="2"/>
        <v>F</v>
      </c>
    </row>
    <row r="9" spans="1:18" ht="85.5" customHeight="1" x14ac:dyDescent="0.25">
      <c r="A9" s="3" t="s">
        <v>32</v>
      </c>
      <c r="B9" s="3" t="s">
        <v>33</v>
      </c>
      <c r="C9" s="3" t="s">
        <v>20</v>
      </c>
      <c r="D9" s="3">
        <v>90</v>
      </c>
      <c r="E9" s="3">
        <v>89</v>
      </c>
      <c r="F9" s="3">
        <v>92</v>
      </c>
      <c r="G9" s="3">
        <v>91</v>
      </c>
      <c r="H9" s="7">
        <v>362</v>
      </c>
      <c r="I9" s="4">
        <v>0.90500000000000003</v>
      </c>
      <c r="J9" s="3" t="s">
        <v>17</v>
      </c>
      <c r="K9" s="14" t="str">
        <f t="shared" si="0"/>
        <v>Pass</v>
      </c>
      <c r="L9" s="1">
        <v>43</v>
      </c>
      <c r="M9" s="14">
        <v>56</v>
      </c>
      <c r="N9" s="18" t="str">
        <f t="shared" si="1"/>
        <v>NOT ELIGIBLE</v>
      </c>
      <c r="P9" s="14" t="s">
        <v>45</v>
      </c>
      <c r="R9" s="11" t="str">
        <f t="shared" si="2"/>
        <v>F</v>
      </c>
    </row>
    <row r="10" spans="1:18" s="9" customFormat="1" ht="66" customHeight="1" x14ac:dyDescent="0.25">
      <c r="A10" s="7" t="s">
        <v>34</v>
      </c>
      <c r="B10" s="7" t="s">
        <v>35</v>
      </c>
      <c r="C10" s="7" t="s">
        <v>12</v>
      </c>
      <c r="D10" s="7">
        <v>69</v>
      </c>
      <c r="E10" s="7">
        <v>74</v>
      </c>
      <c r="F10" s="7">
        <v>73</v>
      </c>
      <c r="G10" s="7">
        <v>70</v>
      </c>
      <c r="H10" s="7">
        <v>286</v>
      </c>
      <c r="I10" s="8">
        <v>0.71499999999999997</v>
      </c>
      <c r="J10" s="7" t="s">
        <v>21</v>
      </c>
      <c r="K10" s="14" t="str">
        <f t="shared" si="0"/>
        <v>fail</v>
      </c>
      <c r="L10" s="10">
        <v>37</v>
      </c>
      <c r="M10" s="14">
        <v>75</v>
      </c>
      <c r="N10" s="14" t="str">
        <f t="shared" si="1"/>
        <v>NOT ELIGIBLE</v>
      </c>
      <c r="P10" s="14" t="s">
        <v>45</v>
      </c>
      <c r="R10" s="11" t="str">
        <f t="shared" si="2"/>
        <v>F</v>
      </c>
    </row>
    <row r="11" spans="1:18" ht="83.25" customHeight="1" x14ac:dyDescent="0.25">
      <c r="A11" s="3" t="s">
        <v>36</v>
      </c>
      <c r="B11" s="3" t="s">
        <v>37</v>
      </c>
      <c r="C11" s="3" t="s">
        <v>16</v>
      </c>
      <c r="D11" s="3">
        <v>85</v>
      </c>
      <c r="E11" s="3">
        <v>87</v>
      </c>
      <c r="F11" s="3">
        <v>89</v>
      </c>
      <c r="G11" s="3">
        <v>93</v>
      </c>
      <c r="H11" s="7">
        <v>354</v>
      </c>
      <c r="I11" s="4">
        <v>0.88500000000000001</v>
      </c>
      <c r="J11" s="3" t="s">
        <v>17</v>
      </c>
      <c r="K11" s="14" t="str">
        <f t="shared" si="0"/>
        <v>Pass</v>
      </c>
      <c r="L11" s="1">
        <v>67</v>
      </c>
      <c r="M11" s="14">
        <v>56</v>
      </c>
      <c r="N11" s="18" t="str">
        <f t="shared" si="1"/>
        <v>NOT ELIGIBLE</v>
      </c>
      <c r="P11" s="14" t="s">
        <v>45</v>
      </c>
      <c r="R11" s="11" t="str">
        <f t="shared" si="2"/>
        <v>F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58A1-8435-431F-9EF9-1918F7500BD5}">
  <dimension ref="A1:K101"/>
  <sheetViews>
    <sheetView workbookViewId="0">
      <selection sqref="A1:K101"/>
    </sheetView>
  </sheetViews>
  <sheetFormatPr defaultRowHeight="15" x14ac:dyDescent="0.25"/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/>
      <c r="B2" s="3"/>
      <c r="C2" s="3"/>
      <c r="D2" s="3"/>
      <c r="E2" s="3"/>
      <c r="F2" s="3"/>
      <c r="G2" s="3"/>
      <c r="H2" s="3"/>
      <c r="I2" s="4"/>
      <c r="J2" s="3"/>
      <c r="K2" s="3"/>
    </row>
    <row r="3" spans="1:11" x14ac:dyDescent="0.25">
      <c r="A3" s="3"/>
      <c r="B3" s="3"/>
      <c r="C3" s="3"/>
      <c r="D3" s="3"/>
      <c r="E3" s="3"/>
      <c r="F3" s="3"/>
      <c r="G3" s="3"/>
      <c r="H3" s="3"/>
      <c r="I3" s="4"/>
      <c r="J3" s="3"/>
      <c r="K3" s="3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3"/>
      <c r="B7" s="3"/>
      <c r="C7" s="3"/>
      <c r="D7" s="3"/>
      <c r="E7" s="3"/>
      <c r="F7" s="3"/>
      <c r="G7" s="3"/>
      <c r="H7" s="3"/>
      <c r="I7" s="4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4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4"/>
      <c r="J12" s="3"/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4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4"/>
      <c r="J18" s="3"/>
      <c r="K18" s="3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4"/>
      <c r="J22" s="3"/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4"/>
      <c r="J23" s="3"/>
      <c r="K23" s="3"/>
    </row>
    <row r="24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4"/>
      <c r="J27" s="3"/>
      <c r="K27" s="3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4"/>
      <c r="J28" s="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4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4"/>
      <c r="J33" s="3"/>
      <c r="K33" s="3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4"/>
      <c r="J37" s="3"/>
      <c r="K37" s="3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4"/>
      <c r="J38" s="3"/>
      <c r="K38" s="3"/>
    </row>
    <row r="39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</row>
    <row r="43" spans="1:11" x14ac:dyDescent="0.25">
      <c r="A43" s="3"/>
      <c r="B43" s="3"/>
      <c r="C43" s="3"/>
      <c r="D43" s="3"/>
      <c r="E43" s="3"/>
      <c r="F43" s="3"/>
      <c r="G43" s="3"/>
      <c r="H43" s="3"/>
      <c r="I43" s="4"/>
      <c r="J43" s="3"/>
      <c r="K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3"/>
      <c r="B47" s="3"/>
      <c r="C47" s="3"/>
      <c r="D47" s="3"/>
      <c r="E47" s="3"/>
      <c r="F47" s="3"/>
      <c r="G47" s="3"/>
      <c r="H47" s="3"/>
      <c r="I47" s="4"/>
      <c r="J47" s="3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3"/>
      <c r="B52" s="3"/>
      <c r="C52" s="3"/>
      <c r="D52" s="3"/>
      <c r="E52" s="3"/>
      <c r="F52" s="3"/>
      <c r="G52" s="3"/>
      <c r="H52" s="3"/>
      <c r="I52" s="4"/>
      <c r="J52" s="3"/>
      <c r="K52" s="3"/>
    </row>
    <row r="53" spans="1:11" x14ac:dyDescent="0.25">
      <c r="A53" s="3"/>
      <c r="B53" s="3"/>
      <c r="C53" s="3"/>
      <c r="D53" s="3"/>
      <c r="E53" s="3"/>
      <c r="F53" s="3"/>
      <c r="G53" s="3"/>
      <c r="H53" s="3"/>
      <c r="I53" s="4"/>
      <c r="J53" s="3"/>
      <c r="K53" s="3"/>
    </row>
    <row r="54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3"/>
      <c r="B57" s="3"/>
      <c r="C57" s="3"/>
      <c r="D57" s="3"/>
      <c r="E57" s="3"/>
      <c r="F57" s="3"/>
      <c r="G57" s="3"/>
      <c r="H57" s="3"/>
      <c r="I57" s="4"/>
      <c r="J57" s="3"/>
      <c r="K57" s="3"/>
    </row>
    <row r="58" spans="1:11" x14ac:dyDescent="0.25">
      <c r="A58" s="3"/>
      <c r="B58" s="3"/>
      <c r="C58" s="3"/>
      <c r="D58" s="3"/>
      <c r="E58" s="3"/>
      <c r="F58" s="3"/>
      <c r="G58" s="3"/>
      <c r="H58" s="3"/>
      <c r="I58" s="4"/>
      <c r="J58" s="3"/>
      <c r="K58" s="3"/>
    </row>
    <row r="59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3"/>
      <c r="B62" s="3"/>
      <c r="C62" s="3"/>
      <c r="D62" s="3"/>
      <c r="E62" s="3"/>
      <c r="F62" s="3"/>
      <c r="G62" s="3"/>
      <c r="H62" s="3"/>
      <c r="I62" s="4"/>
      <c r="J62" s="3"/>
      <c r="K62" s="3"/>
    </row>
    <row r="63" spans="1:11" x14ac:dyDescent="0.25">
      <c r="A63" s="3"/>
      <c r="B63" s="3"/>
      <c r="C63" s="3"/>
      <c r="D63" s="3"/>
      <c r="E63" s="3"/>
      <c r="F63" s="3"/>
      <c r="G63" s="3"/>
      <c r="H63" s="3"/>
      <c r="I63" s="4"/>
      <c r="J63" s="3"/>
      <c r="K63" s="3"/>
    </row>
    <row r="64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3"/>
      <c r="B67" s="3"/>
      <c r="C67" s="3"/>
      <c r="D67" s="3"/>
      <c r="E67" s="3"/>
      <c r="F67" s="3"/>
      <c r="G67" s="3"/>
      <c r="H67" s="3"/>
      <c r="I67" s="4"/>
      <c r="J67" s="3"/>
      <c r="K67" s="3"/>
    </row>
    <row r="68" spans="1:11" x14ac:dyDescent="0.25">
      <c r="A68" s="3"/>
      <c r="B68" s="3"/>
      <c r="C68" s="3"/>
      <c r="D68" s="3"/>
      <c r="E68" s="3"/>
      <c r="F68" s="3"/>
      <c r="G68" s="3"/>
      <c r="H68" s="3"/>
      <c r="I68" s="4"/>
      <c r="J68" s="3"/>
      <c r="K68" s="3"/>
    </row>
    <row r="69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3"/>
      <c r="B72" s="3"/>
      <c r="C72" s="3"/>
      <c r="D72" s="3"/>
      <c r="E72" s="3"/>
      <c r="F72" s="3"/>
      <c r="G72" s="3"/>
      <c r="H72" s="3"/>
      <c r="I72" s="4"/>
      <c r="J72" s="3"/>
      <c r="K72" s="3"/>
    </row>
    <row r="73" spans="1:11" x14ac:dyDescent="0.25">
      <c r="A73" s="3"/>
      <c r="B73" s="3"/>
      <c r="C73" s="3"/>
      <c r="D73" s="3"/>
      <c r="E73" s="3"/>
      <c r="F73" s="3"/>
      <c r="G73" s="3"/>
      <c r="H73" s="3"/>
      <c r="I73" s="4"/>
      <c r="J73" s="3"/>
      <c r="K73" s="3"/>
    </row>
    <row r="74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3"/>
      <c r="B77" s="3"/>
      <c r="C77" s="3"/>
      <c r="D77" s="3"/>
      <c r="E77" s="3"/>
      <c r="F77" s="3"/>
      <c r="G77" s="3"/>
      <c r="H77" s="3"/>
      <c r="I77" s="4"/>
      <c r="J77" s="3"/>
      <c r="K77" s="3"/>
    </row>
    <row r="78" spans="1:11" x14ac:dyDescent="0.25">
      <c r="A78" s="3"/>
      <c r="B78" s="3"/>
      <c r="C78" s="3"/>
      <c r="D78" s="3"/>
      <c r="E78" s="3"/>
      <c r="F78" s="3"/>
      <c r="G78" s="3"/>
      <c r="H78" s="3"/>
      <c r="I78" s="4"/>
      <c r="J78" s="3"/>
      <c r="K78" s="3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3"/>
      <c r="B82" s="3"/>
      <c r="C82" s="3"/>
      <c r="D82" s="3"/>
      <c r="E82" s="3"/>
      <c r="F82" s="3"/>
      <c r="G82" s="3"/>
      <c r="H82" s="3"/>
      <c r="I82" s="4"/>
      <c r="J82" s="3"/>
      <c r="K82" s="3"/>
    </row>
    <row r="83" spans="1:11" x14ac:dyDescent="0.25">
      <c r="A83" s="3"/>
      <c r="B83" s="3"/>
      <c r="C83" s="3"/>
      <c r="D83" s="3"/>
      <c r="E83" s="3"/>
      <c r="F83" s="3"/>
      <c r="G83" s="3"/>
      <c r="H83" s="3"/>
      <c r="I83" s="4"/>
      <c r="J83" s="3"/>
      <c r="K83" s="3"/>
    </row>
    <row r="84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3"/>
      <c r="B87" s="3"/>
      <c r="C87" s="3"/>
      <c r="D87" s="3"/>
      <c r="E87" s="3"/>
      <c r="F87" s="3"/>
      <c r="G87" s="3"/>
      <c r="H87" s="3"/>
      <c r="I87" s="4"/>
      <c r="J87" s="3"/>
      <c r="K87" s="3"/>
    </row>
    <row r="88" spans="1:11" x14ac:dyDescent="0.25">
      <c r="A88" s="3"/>
      <c r="B88" s="3"/>
      <c r="C88" s="3"/>
      <c r="D88" s="3"/>
      <c r="E88" s="3"/>
      <c r="F88" s="3"/>
      <c r="G88" s="3"/>
      <c r="H88" s="3"/>
      <c r="I88" s="4"/>
      <c r="J88" s="3"/>
      <c r="K88" s="3"/>
    </row>
    <row r="89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3"/>
      <c r="B92" s="3"/>
      <c r="C92" s="3"/>
      <c r="D92" s="3"/>
      <c r="E92" s="3"/>
      <c r="F92" s="3"/>
      <c r="G92" s="3"/>
      <c r="H92" s="3"/>
      <c r="I92" s="4"/>
      <c r="J92" s="3"/>
      <c r="K92" s="3"/>
    </row>
    <row r="93" spans="1:11" x14ac:dyDescent="0.25">
      <c r="A93" s="3"/>
      <c r="B93" s="3"/>
      <c r="C93" s="3"/>
      <c r="D93" s="3"/>
      <c r="E93" s="3"/>
      <c r="F93" s="3"/>
      <c r="G93" s="3"/>
      <c r="H93" s="3"/>
      <c r="I93" s="4"/>
      <c r="J93" s="3"/>
      <c r="K93" s="3"/>
    </row>
    <row r="94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3"/>
      <c r="B97" s="3"/>
      <c r="C97" s="3"/>
      <c r="D97" s="3"/>
      <c r="E97" s="3"/>
      <c r="F97" s="3"/>
      <c r="G97" s="3"/>
      <c r="H97" s="3"/>
      <c r="I97" s="4"/>
      <c r="J97" s="3"/>
      <c r="K97" s="3"/>
    </row>
    <row r="98" spans="1:11" x14ac:dyDescent="0.25">
      <c r="A98" s="3"/>
      <c r="B98" s="3"/>
      <c r="C98" s="3"/>
      <c r="D98" s="3"/>
      <c r="E98" s="3"/>
      <c r="F98" s="3"/>
      <c r="G98" s="3"/>
      <c r="H98" s="3"/>
      <c r="I98" s="4"/>
      <c r="J98" s="3"/>
      <c r="K98" s="3"/>
    </row>
    <row r="99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DDDB-EE5E-4112-9E8A-A3118E95E2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page4</vt:lpstr>
      <vt:lpstr>Page 1</vt:lpstr>
      <vt:lpstr>page 2</vt:lpstr>
      <vt:lpstr>page 3</vt:lpstr>
      <vt:lpstr>CLASS 5</vt:lpstr>
      <vt:lpstr>CLASS 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MISHRA</dc:creator>
  <cp:lastModifiedBy>ATUL MISHRA</cp:lastModifiedBy>
  <dcterms:created xsi:type="dcterms:W3CDTF">2026-07-04T04:50:46Z</dcterms:created>
  <dcterms:modified xsi:type="dcterms:W3CDTF">2026-07-07T07:09:15Z</dcterms:modified>
</cp:coreProperties>
</file>